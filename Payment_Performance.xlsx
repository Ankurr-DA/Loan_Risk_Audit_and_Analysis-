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G13" i="1"/>
  <c r="F13"/>
  <c r="E13"/>
  <c r="D13"/>
</calcChain>
</file>

<file path=xl/sharedStrings.xml><?xml version="1.0" encoding="utf-8"?>
<sst xmlns="http://schemas.openxmlformats.org/spreadsheetml/2006/main" count="36" uniqueCount="21">
  <si>
    <t>Timing Status</t>
  </si>
  <si>
    <t>Payment Status</t>
  </si>
  <si>
    <t>System Action</t>
  </si>
  <si>
    <t>Uncollected Shortfall</t>
  </si>
  <si>
    <t>1 - 30 Days Late</t>
  </si>
  <si>
    <t>Fully Paid (Exact)</t>
  </si>
  <si>
    <t>Monitor Account</t>
  </si>
  <si>
    <t>Underpaid (Partial)</t>
  </si>
  <si>
    <t>31 - 60 Days Late</t>
  </si>
  <si>
    <t>60+ Days Late (Default)</t>
  </si>
  <si>
    <t>Critical Action</t>
  </si>
  <si>
    <t>Missing Due Date</t>
  </si>
  <si>
    <t>No Payment</t>
  </si>
  <si>
    <t>On-Time / Active</t>
  </si>
  <si>
    <t>Paid Earlier</t>
  </si>
  <si>
    <t>Unpaid / Pending</t>
  </si>
  <si>
    <t>Transaction Count</t>
  </si>
  <si>
    <t>Total EMI Due</t>
  </si>
  <si>
    <t>Total EMI Paid</t>
  </si>
  <si>
    <t>LOAN PAYMENT PERFORMANCE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</si>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</sst>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714AB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numFmt numFmtId="2" formatCode="0.00"/>
      <border diagonalUp="0" diagonalDown="0" outline="0">
        <left style="thin">
          <color indexed="64"/>
        </left>
        <right/>
        <top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</border>
    </dxf>
    <dxf>
      <numFmt numFmtId="2" formatCode="0.00"/>
      <border outline="0">
        <right style="thin">
          <color indexed="64"/>
        </right>
      </border>
    </dxf>
    <dxf>
      <border outline="0">
        <right style="thin">
          <color indexed="64"/>
        </right>
      </border>
    </dxf>
    <dxf>
      <numFmt numFmtId="164" formatCode="[$$-409]#,##0.0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$-409]#,##0.0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$-409]#,##0.0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714AB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12" totalsRowShown="0" headerRowDxfId="13" dataDxfId="12" tableBorderDxfId="11">
  <autoFilter ref="A3:G12"/>
  <tableColumns count="7">
    <tableColumn id="1" name="Timing Status" totalsRowDxfId="10"/>
    <tableColumn id="2" name="Payment Status" totalsRowDxfId="9"/>
    <tableColumn id="3" name="System Action" totalsRowDxfId="8"/>
    <tableColumn id="4" name="Transaction Count" dataDxfId="3" totalsRowDxfId="7"/>
    <tableColumn id="5" name="Total EMI Due" dataDxfId="2" totalsRowDxfId="6"/>
    <tableColumn id="6" name="Total EMI Paid" dataDxfId="1" totalsRowDxfId="5"/>
    <tableColumn id="7" name="Uncollected Shortfall" dataDxfId="0" totalsRowDxfId="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zoomScale="120" zoomScaleNormal="120" workbookViewId="0">
      <selection activeCell="F14" sqref="F14"/>
    </sheetView>
  </sheetViews>
  <sheetFormatPr defaultRowHeight="15"/>
  <cols>
    <col min="1" max="1" width="21.5703125" bestFit="1" customWidth="1"/>
    <col min="2" max="2" width="19.28515625" bestFit="1" customWidth="1"/>
    <col min="3" max="3" width="18.140625" bestFit="1" customWidth="1"/>
    <col min="4" max="4" width="21.5703125" bestFit="1" customWidth="1"/>
    <col min="5" max="5" width="17.85546875" bestFit="1" customWidth="1"/>
    <col min="6" max="6" width="18.140625" bestFit="1" customWidth="1"/>
    <col min="7" max="7" width="24.42578125" bestFit="1" customWidth="1"/>
  </cols>
  <sheetData>
    <row r="1" spans="1:7">
      <c r="A1" s="6" t="s">
        <v>19</v>
      </c>
      <c r="B1" s="7"/>
      <c r="C1" s="7"/>
      <c r="D1" s="7"/>
      <c r="E1" s="7"/>
      <c r="F1" s="7"/>
      <c r="G1" s="7"/>
    </row>
    <row r="2" spans="1:7">
      <c r="A2" s="7"/>
      <c r="B2" s="7"/>
      <c r="C2" s="7"/>
      <c r="D2" s="7"/>
      <c r="E2" s="7"/>
      <c r="F2" s="7"/>
      <c r="G2" s="7"/>
    </row>
    <row r="3" spans="1:7" s="3" customFormat="1">
      <c r="A3" s="2" t="s">
        <v>0</v>
      </c>
      <c r="B3" s="2" t="s">
        <v>1</v>
      </c>
      <c r="C3" s="2" t="s">
        <v>2</v>
      </c>
      <c r="D3" s="2" t="s">
        <v>16</v>
      </c>
      <c r="E3" s="2" t="s">
        <v>17</v>
      </c>
      <c r="F3" s="2" t="s">
        <v>18</v>
      </c>
      <c r="G3" s="2" t="s">
        <v>3</v>
      </c>
    </row>
    <row r="4" spans="1:7">
      <c r="A4" s="1" t="s">
        <v>4</v>
      </c>
      <c r="B4" s="1" t="s">
        <v>5</v>
      </c>
      <c r="C4" s="1" t="s">
        <v>6</v>
      </c>
      <c r="D4" s="1">
        <v>1</v>
      </c>
      <c r="E4" s="9">
        <v>1004.62</v>
      </c>
      <c r="F4" s="9">
        <v>1004.62</v>
      </c>
      <c r="G4" s="9">
        <v>0</v>
      </c>
    </row>
    <row r="5" spans="1:7">
      <c r="A5" s="1" t="s">
        <v>4</v>
      </c>
      <c r="B5" s="1" t="s">
        <v>7</v>
      </c>
      <c r="C5" s="1" t="s">
        <v>6</v>
      </c>
      <c r="D5" s="1">
        <v>994</v>
      </c>
      <c r="E5" s="9">
        <v>5352970.9800000004</v>
      </c>
      <c r="F5" s="9">
        <v>4907615.2</v>
      </c>
      <c r="G5" s="9">
        <v>445355.78</v>
      </c>
    </row>
    <row r="6" spans="1:7">
      <c r="A6" s="1" t="s">
        <v>8</v>
      </c>
      <c r="B6" s="1" t="s">
        <v>7</v>
      </c>
      <c r="C6" s="1" t="s">
        <v>6</v>
      </c>
      <c r="D6" s="1">
        <v>369</v>
      </c>
      <c r="E6" s="9">
        <v>1036280.89</v>
      </c>
      <c r="F6" s="9">
        <v>847085.87</v>
      </c>
      <c r="G6" s="9">
        <v>189195.02</v>
      </c>
    </row>
    <row r="7" spans="1:7">
      <c r="A7" s="1" t="s">
        <v>9</v>
      </c>
      <c r="B7" s="1" t="s">
        <v>7</v>
      </c>
      <c r="C7" s="1" t="s">
        <v>10</v>
      </c>
      <c r="D7" s="1">
        <v>133</v>
      </c>
      <c r="E7" s="9">
        <v>343695.05</v>
      </c>
      <c r="F7" s="9">
        <v>335310.59999999998</v>
      </c>
      <c r="G7" s="9">
        <v>8384.4500000000007</v>
      </c>
    </row>
    <row r="8" spans="1:7">
      <c r="A8" s="1" t="s">
        <v>11</v>
      </c>
      <c r="B8" s="1" t="s">
        <v>12</v>
      </c>
      <c r="C8" s="1" t="s">
        <v>10</v>
      </c>
      <c r="D8" s="1">
        <v>21</v>
      </c>
      <c r="E8" s="9">
        <v>49978.97</v>
      </c>
      <c r="F8" s="9">
        <v>20347.419999999998</v>
      </c>
      <c r="G8" s="9">
        <v>29631.55</v>
      </c>
    </row>
    <row r="9" spans="1:7">
      <c r="A9" s="1" t="s">
        <v>11</v>
      </c>
      <c r="B9" s="1" t="s">
        <v>7</v>
      </c>
      <c r="C9" s="1" t="s">
        <v>10</v>
      </c>
      <c r="D9" s="1">
        <v>125</v>
      </c>
      <c r="E9" s="9">
        <v>310453.03999999998</v>
      </c>
      <c r="F9" s="9">
        <v>289966.5</v>
      </c>
      <c r="G9" s="9">
        <v>20486.54</v>
      </c>
    </row>
    <row r="10" spans="1:7">
      <c r="A10" s="1" t="s">
        <v>13</v>
      </c>
      <c r="B10" s="1" t="s">
        <v>7</v>
      </c>
      <c r="C10" s="1" t="s">
        <v>6</v>
      </c>
      <c r="D10" s="1">
        <v>158</v>
      </c>
      <c r="E10" s="9">
        <v>401344.28</v>
      </c>
      <c r="F10" s="9">
        <v>388848.92</v>
      </c>
      <c r="G10" s="9">
        <v>12495.36</v>
      </c>
    </row>
    <row r="11" spans="1:7">
      <c r="A11" s="1" t="s">
        <v>14</v>
      </c>
      <c r="B11" s="1" t="s">
        <v>7</v>
      </c>
      <c r="C11" s="1" t="s">
        <v>6</v>
      </c>
      <c r="D11" s="1">
        <v>380</v>
      </c>
      <c r="E11" s="9">
        <v>1049439.95</v>
      </c>
      <c r="F11" s="9">
        <v>1038674.57</v>
      </c>
      <c r="G11" s="9">
        <v>10765.38</v>
      </c>
    </row>
    <row r="12" spans="1:7">
      <c r="A12" s="4" t="s">
        <v>15</v>
      </c>
      <c r="B12" s="4" t="s">
        <v>12</v>
      </c>
      <c r="C12" s="4" t="s">
        <v>10</v>
      </c>
      <c r="D12" s="4">
        <v>474</v>
      </c>
      <c r="E12" s="10">
        <v>1335771.54</v>
      </c>
      <c r="F12" s="10">
        <v>363069.74</v>
      </c>
      <c r="G12" s="10">
        <v>972701.8</v>
      </c>
    </row>
    <row r="13" spans="1:7">
      <c r="A13" s="8" t="s">
        <v>20</v>
      </c>
      <c r="B13" s="8"/>
      <c r="C13" s="8"/>
      <c r="D13" s="5">
        <f>SUBTOTAL(109,Table1[Transaction Count])</f>
        <v>2655</v>
      </c>
      <c r="E13" s="11">
        <f>SUBTOTAL(109,Table1[Total EMI Due])</f>
        <v>9880939.3200000003</v>
      </c>
      <c r="F13" s="11">
        <f>SUBTOTAL(109,Table1[Total EMI Paid])</f>
        <v>8191923.4400000004</v>
      </c>
      <c r="G13" s="11">
        <f>SUBTOTAL(109,Table1[Uncollected Shortfall])</f>
        <v>1689015.8800000001</v>
      </c>
    </row>
  </sheetData>
  <mergeCells count="2">
    <mergeCell ref="A1:G2"/>
    <mergeCell ref="A13:C13"/>
  </mergeCell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2026-07-30T22:37:42Z</dcterms:created>
  <dcterms:modified xsi:type="dcterms:W3CDTF">2026-07-31T13:00:47Z</dcterms:modified>
</cp:coreProperties>
</file>